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ulha\Downloads\"/>
    </mc:Choice>
  </mc:AlternateContent>
  <xr:revisionPtr revIDLastSave="0" documentId="13_ncr:1_{A41938DE-9D16-4D5B-81B2-1DA04472D305}" xr6:coauthVersionLast="47" xr6:coauthVersionMax="47" xr10:uidLastSave="{00000000-0000-0000-0000-000000000000}"/>
  <bookViews>
    <workbookView xWindow="-108" yWindow="-108" windowWidth="23256" windowHeight="12456" tabRatio="500" firstSheet="4" activeTab="7" xr2:uid="{00000000-000D-0000-FFFF-FFFF00000000}"/>
  </bookViews>
  <sheets>
    <sheet name="Scope Summary" sheetId="1" r:id="rId1"/>
    <sheet name="Monthly Breakdown" sheetId="2" r:id="rId2"/>
    <sheet name="Scope 1 Detail" sheetId="3" r:id="rId3"/>
    <sheet name="Scope 2 Detail" sheetId="4" r:id="rId4"/>
    <sheet name="Scope 3 Detail" sheetId="5" r:id="rId5"/>
    <sheet name="Net Zero Pathway" sheetId="6" r:id="rId6"/>
    <sheet name="Emission Factors" sheetId="7" r:id="rId7"/>
    <sheet name="Company Info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" i="6" l="1"/>
  <c r="E14" i="5"/>
  <c r="F14" i="5" s="1"/>
  <c r="D14" i="5"/>
  <c r="F13" i="5"/>
  <c r="F12" i="5"/>
  <c r="F11" i="5"/>
  <c r="F10" i="5"/>
  <c r="F9" i="5"/>
  <c r="F8" i="5"/>
  <c r="F7" i="5"/>
  <c r="F6" i="5"/>
  <c r="F5" i="5"/>
  <c r="F4" i="5"/>
  <c r="F3" i="5"/>
  <c r="F2" i="5"/>
  <c r="F6" i="4"/>
  <c r="E6" i="4"/>
  <c r="G6" i="3"/>
  <c r="F6" i="3"/>
  <c r="E14" i="2"/>
  <c r="D14" i="2"/>
  <c r="C14" i="2"/>
  <c r="F13" i="2"/>
  <c r="F12" i="2"/>
  <c r="F11" i="2"/>
  <c r="F10" i="2"/>
  <c r="F9" i="2"/>
  <c r="F8" i="2"/>
  <c r="F7" i="2"/>
  <c r="F6" i="2"/>
  <c r="F5" i="2"/>
  <c r="F4" i="2"/>
  <c r="F3" i="2"/>
  <c r="F2" i="2"/>
  <c r="F14" i="2" s="1"/>
  <c r="C5" i="1"/>
  <c r="B5" i="1"/>
  <c r="D4" i="1"/>
  <c r="D3" i="1"/>
  <c r="D2" i="1"/>
  <c r="E3" i="1" l="1"/>
  <c r="E2" i="1"/>
  <c r="D5" i="1"/>
  <c r="E4" i="1"/>
</calcChain>
</file>

<file path=xl/sharedStrings.xml><?xml version="1.0" encoding="utf-8"?>
<sst xmlns="http://schemas.openxmlformats.org/spreadsheetml/2006/main" count="186" uniqueCount="126">
  <si>
    <t>Scope</t>
  </si>
  <si>
    <t>FY2022 (tCO2e)</t>
  </si>
  <si>
    <t>FY2023 (tCO2e)</t>
  </si>
  <si>
    <t>YoY Change (%)</t>
  </si>
  <si>
    <t>Share of Total (%)</t>
  </si>
  <si>
    <t>Scope 1 - Direct</t>
  </si>
  <si>
    <t>Scope 2 - Electricity</t>
  </si>
  <si>
    <t>Scope 3 - Value Chain</t>
  </si>
  <si>
    <t>TOTAL</t>
  </si>
  <si>
    <t>Month</t>
  </si>
  <si>
    <t>Month No</t>
  </si>
  <si>
    <t>Scope 1 (tCO2e)</t>
  </si>
  <si>
    <t>Scope 2 (tCO2e)</t>
  </si>
  <si>
    <t>Scope 3 (tCO2e)</t>
  </si>
  <si>
    <t>Total (tCO2e)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</si>
  <si>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</si>
  <si>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</si>
  <si>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</si>
  <si>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</si>
  <si>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</si>
  <si>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</si>
  <si>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</si>
  <si>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</si>
  <si>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</si>
  <si>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</si>
  <si>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</si>
  <si>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</si>
  <si>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</t>
  </si>
  <si>
    <t>Activity Data</t>
  </si>
  <si>
    <t>Unit</t>
  </si>
  <si>
    <t>Emission Factor</t>
  </si>
  <si>
    <t>EF Unit</t>
  </si>
  <si>
    <t>Natural Gas (Boiler)</t>
  </si>
  <si>
    <t>kWh</t>
  </si>
  <si>
    <t>kgCO2e/kWh</t>
  </si>
  <si>
    <t>Diesel (Backup Generator)</t>
  </si>
  <si>
    <t>litres</t>
  </si>
  <si>
    <t>kgCO2e/litre</t>
  </si>
  <si>
    <t>Petrol (Company Cars)</t>
  </si>
  <si>
    <t>Refrigerant Leakage (R410A)</t>
  </si>
  <si>
    <t>kg</t>
  </si>
  <si>
    <t>kgCO2e/kg</t>
  </si>
  <si>
    <t>TOTAL SCOPE 1</t>
  </si>
  <si>
    <t>Method / Source</t>
  </si>
  <si>
    <t>Activity (kWh)</t>
  </si>
  <si>
    <t>Location-Based — Office Electricity</t>
  </si>
  <si>
    <t>Location-Based — IT/Server Room</t>
  </si>
  <si>
    <t>Market-Based — Office (Renewable Tariff)</t>
  </si>
  <si>
    <t>Market-Based — IT/Server (Renewable Tariff)</t>
  </si>
  <si>
    <t>TOTAL SCOPE 2 (Location-Based)</t>
  </si>
  <si>
    <t>Category</t>
  </si>
  <si>
    <t>GHG Protocol Cat No</t>
  </si>
  <si>
    <t>Activity Description</t>
  </si>
  <si>
    <t>Purchased Goods &amp; Services</t>
  </si>
  <si>
    <t>£850k spend × 0.27 kgCO2e/£</t>
  </si>
  <si>
    <t>Employee Commuting (Petrol Car)</t>
  </si>
  <si>
    <t>520k pass-km × 0.171 kgCO2e/km</t>
  </si>
  <si>
    <t>Business Flights (Short-haul)</t>
  </si>
  <si>
    <t>180k pass-km × 0.2551 kgCO2e/km</t>
  </si>
  <si>
    <t>Employee Commuting (Rail)</t>
  </si>
  <si>
    <t>210k pass-km × 0.03549 kgCO2e/km</t>
  </si>
  <si>
    <t>Hotel Stays</t>
  </si>
  <si>
    <t>320 nights × 16 kgCO2e/night</t>
  </si>
  <si>
    <t>Employee Commuting (EV)</t>
  </si>
  <si>
    <t>80k pass-km × 0.053 kgCO2e/km</t>
  </si>
  <si>
    <t>Printing &amp; Paper</t>
  </si>
  <si>
    <t>Office paper &amp; print services</t>
  </si>
  <si>
    <t>Courier &amp; Logistics</t>
  </si>
  <si>
    <t>Upstream transport &amp; distribution</t>
  </si>
  <si>
    <t>Cloud Services</t>
  </si>
  <si>
    <t>Data centre energy allocation</t>
  </si>
  <si>
    <t>Waste (Landfill)</t>
  </si>
  <si>
    <t>4.2 tonnes × 467 kgCO2e/tonne</t>
  </si>
  <si>
    <t>Water Supply</t>
  </si>
  <si>
    <t>680 m³ × 0.149 kgCO2e/m³</t>
  </si>
  <si>
    <t>Waste (Recycled)</t>
  </si>
  <si>
    <t>3.8 tonnes × 21.3 kgCO2e/tonne</t>
  </si>
  <si>
    <t>TOTAL SCOPE 3</t>
  </si>
  <si>
    <t>Year</t>
  </si>
  <si>
    <t>Target (tCO2e)</t>
  </si>
  <si>
    <t>Actual (tCO2e)</t>
  </si>
  <si>
    <t>On Track?</t>
  </si>
  <si>
    <t>Baseline</t>
  </si>
  <si>
    <t>—</t>
  </si>
  <si>
    <t>Activity</t>
  </si>
  <si>
    <t>Natural Gas</t>
  </si>
  <si>
    <t>UK DESNZ 2023</t>
  </si>
  <si>
    <t>Grid Electricity (Location-Based)</t>
  </si>
  <si>
    <t>Grid Electricity (Market/Renewable)</t>
  </si>
  <si>
    <t>Diesel</t>
  </si>
  <si>
    <t>Petrol</t>
  </si>
  <si>
    <t>Short-haul Flight (Economy)</t>
  </si>
  <si>
    <t>kgCO2e/pass-km</t>
  </si>
  <si>
    <t>Rail Travel (National)</t>
  </si>
  <si>
    <t>Petrol Car Commute</t>
  </si>
  <si>
    <t>Electric Vehicle</t>
  </si>
  <si>
    <t>Hotel Stay</t>
  </si>
  <si>
    <t>kgCO2e/room-night</t>
  </si>
  <si>
    <t>kgCO2e/m³</t>
  </si>
  <si>
    <t>Waste to Landfill</t>
  </si>
  <si>
    <t>kgCO2e/tonne</t>
  </si>
  <si>
    <t>Waste Recycled</t>
  </si>
  <si>
    <t>Purchased Goods (Spend-Based)</t>
  </si>
  <si>
    <t>kgCO2e/£</t>
  </si>
  <si>
    <t>Refrigerant R410A</t>
  </si>
  <si>
    <t>Company Profile</t>
  </si>
  <si>
    <t>Company Name</t>
  </si>
  <si>
    <t>GreenTech Consulting Ltd</t>
  </si>
  <si>
    <t>Location</t>
  </si>
  <si>
    <t>Manchester, UK</t>
  </si>
  <si>
    <t>Employees</t>
  </si>
  <si>
    <t>Sector</t>
  </si>
  <si>
    <t>Professional Services / IT Consulting</t>
  </si>
  <si>
    <t>Revenue</t>
  </si>
  <si>
    <t>£12M</t>
  </si>
  <si>
    <t>Net Zero Target Year</t>
  </si>
  <si>
    <t>Reporting Standard</t>
  </si>
  <si>
    <t>GHG Protocol Corporate Standard</t>
  </si>
  <si>
    <t>Emission Factor Source</t>
  </si>
  <si>
    <t>UK DESNZ Conversion Factors 2023</t>
  </si>
  <si>
    <t>Reporting Period</t>
  </si>
  <si>
    <t>April 2022 — March 2023</t>
  </si>
  <si>
    <t>Scope 2 Method</t>
  </si>
  <si>
    <t>Location-Based (primary) + Market-Based</t>
  </si>
  <si>
    <t>Scope 3 Categories Covered</t>
  </si>
  <si>
    <t>1, 4, 5, 6, 7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</si>
</sst>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1B4332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3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zoomScaleNormal="100" workbookViewId="0">
      <selection sqref="A1:XFD1"/>
    </sheetView>
  </sheetViews>
  <sheetFormatPr defaultColWidth="8.6640625" defaultRowHeight="14.4" x14ac:dyDescent="0.3"/>
  <cols>
    <col min="1" max="5" width="18" customWidth="1"/>
  </cols>
  <sheetData>
    <row r="1" spans="1:5" ht="26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 x14ac:dyDescent="0.3">
      <c r="A2" s="3" t="s">
        <v>5</v>
      </c>
      <c r="B2" s="4">
        <v>73.581999999999994</v>
      </c>
      <c r="C2" s="4">
        <v>68.352000000000004</v>
      </c>
      <c r="D2" s="4">
        <f>ROUND((C2-B2)/B2*100,1)</f>
        <v>-7.1</v>
      </c>
      <c r="E2" s="4">
        <f>ROUND(C2/C5*100,1)</f>
        <v>14.3</v>
      </c>
    </row>
    <row r="3" spans="1:5" ht="15" customHeight="1" x14ac:dyDescent="0.3">
      <c r="A3" s="3" t="s">
        <v>6</v>
      </c>
      <c r="B3" s="4">
        <v>27.2</v>
      </c>
      <c r="C3" s="4">
        <v>24.84</v>
      </c>
      <c r="D3" s="4">
        <f>ROUND((C3-B3)/B3*100,1)</f>
        <v>-8.6999999999999993</v>
      </c>
      <c r="E3" s="4">
        <f>ROUND(C3/C5*100,1)</f>
        <v>5.2</v>
      </c>
    </row>
    <row r="4" spans="1:5" ht="15" customHeight="1" x14ac:dyDescent="0.3">
      <c r="A4" s="3" t="s">
        <v>7</v>
      </c>
      <c r="B4" s="4">
        <v>392.45</v>
      </c>
      <c r="C4" s="4">
        <v>384.96</v>
      </c>
      <c r="D4" s="4">
        <f>ROUND((C4-B4)/B4*100,1)</f>
        <v>-1.9</v>
      </c>
      <c r="E4" s="4">
        <f>ROUND(C4/C5*100,1)</f>
        <v>80.5</v>
      </c>
    </row>
    <row r="5" spans="1:5" ht="15" customHeight="1" x14ac:dyDescent="0.3">
      <c r="A5" s="3" t="s">
        <v>8</v>
      </c>
      <c r="B5" s="4">
        <f>SUM(B2:B4)</f>
        <v>493.23199999999997</v>
      </c>
      <c r="C5" s="4">
        <f>SUM(C2:C4)</f>
        <v>478.15199999999999</v>
      </c>
      <c r="D5" s="4">
        <f>ROUND((C5-B5)/B5*100,1)</f>
        <v>-3.1</v>
      </c>
      <c r="E5" s="4"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zoomScaleNormal="100" workbookViewId="0">
      <selection activeCell="A2" activeCellId="1" sqref="A1:XFD1 A2:XFD2"/>
    </sheetView>
  </sheetViews>
  <sheetFormatPr defaultColWidth="8.6640625" defaultRowHeight="14.4" x14ac:dyDescent="0.3"/>
  <cols>
    <col min="1" max="6" width="16" customWidth="1"/>
  </cols>
  <sheetData>
    <row r="1" spans="1:6" ht="26.2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ht="15" customHeight="1" x14ac:dyDescent="0.3">
      <c r="A2" s="3" t="s">
        <v>15</v>
      </c>
      <c r="B2" s="4">
        <v>1</v>
      </c>
      <c r="C2" s="4">
        <v>7.8</v>
      </c>
      <c r="D2" s="4">
        <v>2.4</v>
      </c>
      <c r="E2" s="4">
        <v>34.5</v>
      </c>
      <c r="F2" s="4">
        <f t="shared" ref="F2:F13" si="0">C2+D2+E2</f>
        <v>44.7</v>
      </c>
    </row>
    <row r="3" spans="1:6" ht="15" customHeight="1" x14ac:dyDescent="0.3">
      <c r="A3" s="3" t="s">
        <v>16</v>
      </c>
      <c r="B3" s="4">
        <v>2</v>
      </c>
      <c r="C3" s="4">
        <v>7.2</v>
      </c>
      <c r="D3" s="4">
        <v>2.2999999999999998</v>
      </c>
      <c r="E3" s="4">
        <v>33.799999999999997</v>
      </c>
      <c r="F3" s="4">
        <f t="shared" si="0"/>
        <v>43.3</v>
      </c>
    </row>
    <row r="4" spans="1:6" ht="15" customHeight="1" x14ac:dyDescent="0.3">
      <c r="A4" s="3" t="s">
        <v>17</v>
      </c>
      <c r="B4" s="4">
        <v>3</v>
      </c>
      <c r="C4" s="4">
        <v>6.5</v>
      </c>
      <c r="D4" s="4">
        <v>2.2000000000000002</v>
      </c>
      <c r="E4" s="4">
        <v>33.200000000000003</v>
      </c>
      <c r="F4" s="4">
        <f t="shared" si="0"/>
        <v>41.900000000000006</v>
      </c>
    </row>
    <row r="5" spans="1:6" ht="15" customHeight="1" x14ac:dyDescent="0.3">
      <c r="A5" s="3" t="s">
        <v>18</v>
      </c>
      <c r="B5" s="4">
        <v>4</v>
      </c>
      <c r="C5" s="4">
        <v>5.8</v>
      </c>
      <c r="D5" s="4">
        <v>2</v>
      </c>
      <c r="E5" s="4">
        <v>32.5</v>
      </c>
      <c r="F5" s="4">
        <f t="shared" si="0"/>
        <v>40.299999999999997</v>
      </c>
    </row>
    <row r="6" spans="1:6" ht="15" customHeight="1" x14ac:dyDescent="0.3">
      <c r="A6" s="3" t="s">
        <v>19</v>
      </c>
      <c r="B6" s="4">
        <v>5</v>
      </c>
      <c r="C6" s="4">
        <v>4.8</v>
      </c>
      <c r="D6" s="4">
        <v>1.9</v>
      </c>
      <c r="E6" s="4">
        <v>31.8</v>
      </c>
      <c r="F6" s="4">
        <f t="shared" si="0"/>
        <v>38.5</v>
      </c>
    </row>
    <row r="7" spans="1:6" ht="15" customHeight="1" x14ac:dyDescent="0.3">
      <c r="A7" s="3" t="s">
        <v>20</v>
      </c>
      <c r="B7" s="4">
        <v>6</v>
      </c>
      <c r="C7" s="4">
        <v>4.2</v>
      </c>
      <c r="D7" s="4">
        <v>1.8</v>
      </c>
      <c r="E7" s="4">
        <v>30.2</v>
      </c>
      <c r="F7" s="4">
        <f t="shared" si="0"/>
        <v>36.200000000000003</v>
      </c>
    </row>
    <row r="8" spans="1:6" ht="15" customHeight="1" x14ac:dyDescent="0.3">
      <c r="A8" s="3" t="s">
        <v>21</v>
      </c>
      <c r="B8" s="4">
        <v>7</v>
      </c>
      <c r="C8" s="4">
        <v>3.9</v>
      </c>
      <c r="D8" s="4">
        <v>1.8</v>
      </c>
      <c r="E8" s="4">
        <v>28.5</v>
      </c>
      <c r="F8" s="4">
        <f t="shared" si="0"/>
        <v>34.200000000000003</v>
      </c>
    </row>
    <row r="9" spans="1:6" ht="15" customHeight="1" x14ac:dyDescent="0.3">
      <c r="A9" s="3" t="s">
        <v>22</v>
      </c>
      <c r="B9" s="4">
        <v>8</v>
      </c>
      <c r="C9" s="4">
        <v>3.6</v>
      </c>
      <c r="D9" s="4">
        <v>1.7</v>
      </c>
      <c r="E9" s="4">
        <v>25.6</v>
      </c>
      <c r="F9" s="4">
        <f t="shared" si="0"/>
        <v>30.900000000000002</v>
      </c>
    </row>
    <row r="10" spans="1:6" ht="15" customHeight="1" x14ac:dyDescent="0.3">
      <c r="A10" s="3" t="s">
        <v>23</v>
      </c>
      <c r="B10" s="4">
        <v>9</v>
      </c>
      <c r="C10" s="4">
        <v>4.5</v>
      </c>
      <c r="D10" s="4">
        <v>1.9</v>
      </c>
      <c r="E10" s="4">
        <v>31</v>
      </c>
      <c r="F10" s="4">
        <f t="shared" si="0"/>
        <v>37.4</v>
      </c>
    </row>
    <row r="11" spans="1:6" ht="15" customHeight="1" x14ac:dyDescent="0.3">
      <c r="A11" s="3" t="s">
        <v>24</v>
      </c>
      <c r="B11" s="4">
        <v>10</v>
      </c>
      <c r="C11" s="4">
        <v>5.6</v>
      </c>
      <c r="D11" s="4">
        <v>2.1</v>
      </c>
      <c r="E11" s="4">
        <v>33.5</v>
      </c>
      <c r="F11" s="4">
        <f t="shared" si="0"/>
        <v>41.2</v>
      </c>
    </row>
    <row r="12" spans="1:6" ht="15" customHeight="1" x14ac:dyDescent="0.3">
      <c r="A12" s="3" t="s">
        <v>25</v>
      </c>
      <c r="B12" s="4">
        <v>11</v>
      </c>
      <c r="C12" s="4">
        <v>6.8</v>
      </c>
      <c r="D12" s="4">
        <v>2.2999999999999998</v>
      </c>
      <c r="E12" s="4">
        <v>35.200000000000003</v>
      </c>
      <c r="F12" s="4">
        <f t="shared" si="0"/>
        <v>44.300000000000004</v>
      </c>
    </row>
    <row r="13" spans="1:6" ht="15" customHeight="1" x14ac:dyDescent="0.3">
      <c r="A13" s="3" t="s">
        <v>26</v>
      </c>
      <c r="B13" s="4">
        <v>12</v>
      </c>
      <c r="C13" s="4">
        <v>7.65</v>
      </c>
      <c r="D13" s="4">
        <v>2.44</v>
      </c>
      <c r="E13" s="4">
        <v>35.159999999999997</v>
      </c>
      <c r="F13" s="4">
        <f t="shared" si="0"/>
        <v>45.25</v>
      </c>
    </row>
    <row r="14" spans="1:6" ht="15" customHeight="1" x14ac:dyDescent="0.3">
      <c r="A14" s="3" t="s">
        <v>8</v>
      </c>
      <c r="B14" s="4"/>
      <c r="C14" s="4">
        <f>SUM(C2:C13)</f>
        <v>68.350000000000009</v>
      </c>
      <c r="D14" s="4">
        <f>SUM(D2:D13)</f>
        <v>24.840000000000003</v>
      </c>
      <c r="E14" s="4">
        <f>SUM(E2:E13)</f>
        <v>384.96000000000004</v>
      </c>
      <c r="F14" s="4">
        <f>SUM(F2:F13)</f>
        <v>478.14999999999992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zoomScaleNormal="100" workbookViewId="0">
      <selection activeCell="A2" activeCellId="1" sqref="A1:XFD1 A2:XFD2"/>
    </sheetView>
  </sheetViews>
  <sheetFormatPr defaultColWidth="8.6640625" defaultRowHeight="14.4" x14ac:dyDescent="0.3"/>
  <cols>
    <col min="1" max="7" width="18" customWidth="1"/>
  </cols>
  <sheetData>
    <row r="1" spans="1:7" ht="15" customHeight="1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1</v>
      </c>
      <c r="G1" s="2" t="s">
        <v>2</v>
      </c>
    </row>
    <row r="2" spans="1:7" ht="15" customHeight="1" x14ac:dyDescent="0.3">
      <c r="A2" s="3" t="s">
        <v>32</v>
      </c>
      <c r="B2" s="4">
        <v>260000</v>
      </c>
      <c r="C2" s="4" t="s">
        <v>33</v>
      </c>
      <c r="D2" s="4">
        <v>0.18293000000000001</v>
      </c>
      <c r="E2" s="4" t="s">
        <v>34</v>
      </c>
      <c r="F2" s="4">
        <v>51.22</v>
      </c>
      <c r="G2" s="4">
        <v>47.56</v>
      </c>
    </row>
    <row r="3" spans="1:7" ht="15" customHeight="1" x14ac:dyDescent="0.3">
      <c r="A3" s="3" t="s">
        <v>35</v>
      </c>
      <c r="B3" s="4">
        <v>3800</v>
      </c>
      <c r="C3" s="4" t="s">
        <v>36</v>
      </c>
      <c r="D3" s="4">
        <v>2.51233</v>
      </c>
      <c r="E3" s="4" t="s">
        <v>37</v>
      </c>
      <c r="F3" s="4">
        <v>9.5500000000000007</v>
      </c>
      <c r="G3" s="4">
        <v>9.07</v>
      </c>
    </row>
    <row r="4" spans="1:7" ht="15" customHeight="1" x14ac:dyDescent="0.3">
      <c r="A4" s="3" t="s">
        <v>38</v>
      </c>
      <c r="B4" s="4">
        <v>12000</v>
      </c>
      <c r="C4" s="4" t="s">
        <v>36</v>
      </c>
      <c r="D4" s="4">
        <v>2.1680199999999998</v>
      </c>
      <c r="E4" s="4" t="s">
        <v>37</v>
      </c>
      <c r="F4" s="4">
        <v>8.61</v>
      </c>
      <c r="G4" s="4">
        <v>7.8</v>
      </c>
    </row>
    <row r="5" spans="1:7" ht="15" customHeight="1" x14ac:dyDescent="0.3">
      <c r="A5" s="3" t="s">
        <v>39</v>
      </c>
      <c r="B5" s="4">
        <v>8</v>
      </c>
      <c r="C5" s="4" t="s">
        <v>40</v>
      </c>
      <c r="D5" s="4">
        <v>1430</v>
      </c>
      <c r="E5" s="4" t="s">
        <v>41</v>
      </c>
      <c r="F5" s="4">
        <v>4.18</v>
      </c>
      <c r="G5" s="4">
        <v>3.93</v>
      </c>
    </row>
    <row r="6" spans="1:7" ht="15" customHeight="1" x14ac:dyDescent="0.3">
      <c r="A6" s="3" t="s">
        <v>42</v>
      </c>
      <c r="B6" s="4"/>
      <c r="C6" s="4"/>
      <c r="D6" s="4"/>
      <c r="E6" s="4"/>
      <c r="F6" s="4">
        <f>SUM(F2:F5)</f>
        <v>73.56</v>
      </c>
      <c r="G6" s="4">
        <f>SUM(G2:G5)</f>
        <v>68.360000000000014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zoomScaleNormal="100" workbookViewId="0">
      <selection activeCell="D20" sqref="D20"/>
    </sheetView>
  </sheetViews>
  <sheetFormatPr defaultColWidth="8.6640625" defaultRowHeight="14.4" x14ac:dyDescent="0.3"/>
  <cols>
    <col min="1" max="6" width="22" customWidth="1"/>
  </cols>
  <sheetData>
    <row r="1" spans="1:6" ht="15" customHeight="1" x14ac:dyDescent="0.3">
      <c r="A1" s="2" t="s">
        <v>43</v>
      </c>
      <c r="B1" s="2" t="s">
        <v>44</v>
      </c>
      <c r="C1" s="2" t="s">
        <v>30</v>
      </c>
      <c r="D1" s="2" t="s">
        <v>31</v>
      </c>
      <c r="E1" s="2" t="s">
        <v>1</v>
      </c>
      <c r="F1" s="2" t="s">
        <v>2</v>
      </c>
    </row>
    <row r="2" spans="1:6" ht="15" customHeight="1" x14ac:dyDescent="0.3">
      <c r="A2" s="3" t="s">
        <v>45</v>
      </c>
      <c r="B2" s="4">
        <v>120000</v>
      </c>
      <c r="C2" s="4">
        <v>0.20699999999999999</v>
      </c>
      <c r="D2" s="4" t="s">
        <v>34</v>
      </c>
      <c r="E2" s="4">
        <v>24.84</v>
      </c>
      <c r="F2" s="4">
        <v>22.56</v>
      </c>
    </row>
    <row r="3" spans="1:6" ht="15" customHeight="1" x14ac:dyDescent="0.3">
      <c r="A3" s="3" t="s">
        <v>46</v>
      </c>
      <c r="B3" s="4">
        <v>15000</v>
      </c>
      <c r="C3" s="4">
        <v>0.20699999999999999</v>
      </c>
      <c r="D3" s="4" t="s">
        <v>34</v>
      </c>
      <c r="E3" s="4">
        <v>2.36</v>
      </c>
      <c r="F3" s="4">
        <v>2.2799999999999998</v>
      </c>
    </row>
    <row r="4" spans="1:6" ht="15" customHeight="1" x14ac:dyDescent="0.3">
      <c r="A4" s="3" t="s">
        <v>47</v>
      </c>
      <c r="B4" s="4">
        <v>120000</v>
      </c>
      <c r="C4" s="4">
        <v>3.4000000000000002E-2</v>
      </c>
      <c r="D4" s="4" t="s">
        <v>34</v>
      </c>
      <c r="E4" s="4">
        <v>4.08</v>
      </c>
      <c r="F4" s="4">
        <v>3.71</v>
      </c>
    </row>
    <row r="5" spans="1:6" ht="15" customHeight="1" x14ac:dyDescent="0.3">
      <c r="A5" s="3" t="s">
        <v>48</v>
      </c>
      <c r="B5" s="4">
        <v>15000</v>
      </c>
      <c r="C5" s="4">
        <v>3.4000000000000002E-2</v>
      </c>
      <c r="D5" s="4" t="s">
        <v>34</v>
      </c>
      <c r="E5" s="4">
        <v>0.39</v>
      </c>
      <c r="F5" s="4">
        <v>0.35</v>
      </c>
    </row>
    <row r="6" spans="1:6" ht="15" customHeight="1" x14ac:dyDescent="0.3">
      <c r="A6" s="3" t="s">
        <v>49</v>
      </c>
      <c r="B6" s="4"/>
      <c r="C6" s="4"/>
      <c r="D6" s="4"/>
      <c r="E6" s="4">
        <f>E2+E3</f>
        <v>27.2</v>
      </c>
      <c r="F6" s="4">
        <f>F2+F3</f>
        <v>24.84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zoomScaleNormal="100" workbookViewId="0">
      <selection activeCell="A2" activeCellId="1" sqref="A1:XFD1 A2:XFD2"/>
    </sheetView>
  </sheetViews>
  <sheetFormatPr defaultColWidth="8.6640625" defaultRowHeight="14.4" x14ac:dyDescent="0.3"/>
  <cols>
    <col min="1" max="2" width="20" customWidth="1"/>
    <col min="3" max="3" width="35" customWidth="1"/>
    <col min="4" max="6" width="20" customWidth="1"/>
  </cols>
  <sheetData>
    <row r="1" spans="1:6" ht="26.25" customHeight="1" x14ac:dyDescent="0.3">
      <c r="A1" s="2" t="s">
        <v>50</v>
      </c>
      <c r="B1" s="2" t="s">
        <v>51</v>
      </c>
      <c r="C1" s="2" t="s">
        <v>52</v>
      </c>
      <c r="D1" s="2" t="s">
        <v>1</v>
      </c>
      <c r="E1" s="2" t="s">
        <v>2</v>
      </c>
      <c r="F1" s="2" t="s">
        <v>3</v>
      </c>
    </row>
    <row r="2" spans="1:6" ht="15" customHeight="1" x14ac:dyDescent="0.3">
      <c r="A2" s="3" t="s">
        <v>53</v>
      </c>
      <c r="B2" s="4">
        <v>1</v>
      </c>
      <c r="C2" s="4" t="s">
        <v>54</v>
      </c>
      <c r="D2" s="4">
        <v>229.5</v>
      </c>
      <c r="E2" s="4">
        <v>229.65</v>
      </c>
      <c r="F2" s="4">
        <f t="shared" ref="F2:F14" si="0">ROUND((E2-D2)/D2*100,1)</f>
        <v>0.1</v>
      </c>
    </row>
    <row r="3" spans="1:6" ht="15" customHeight="1" x14ac:dyDescent="0.3">
      <c r="A3" s="3" t="s">
        <v>55</v>
      </c>
      <c r="B3" s="4">
        <v>7</v>
      </c>
      <c r="C3" s="4" t="s">
        <v>56</v>
      </c>
      <c r="D3" s="4">
        <v>88.92</v>
      </c>
      <c r="E3" s="4">
        <v>85.5</v>
      </c>
      <c r="F3" s="4">
        <f t="shared" si="0"/>
        <v>-3.8</v>
      </c>
    </row>
    <row r="4" spans="1:6" ht="15" customHeight="1" x14ac:dyDescent="0.3">
      <c r="A4" s="3" t="s">
        <v>57</v>
      </c>
      <c r="B4" s="4">
        <v>6</v>
      </c>
      <c r="C4" s="4" t="s">
        <v>58</v>
      </c>
      <c r="D4" s="4">
        <v>45.92</v>
      </c>
      <c r="E4" s="4">
        <v>42.8</v>
      </c>
      <c r="F4" s="4">
        <f t="shared" si="0"/>
        <v>-6.8</v>
      </c>
    </row>
    <row r="5" spans="1:6" ht="15" customHeight="1" x14ac:dyDescent="0.3">
      <c r="A5" s="3" t="s">
        <v>59</v>
      </c>
      <c r="B5" s="4">
        <v>7</v>
      </c>
      <c r="C5" s="4" t="s">
        <v>60</v>
      </c>
      <c r="D5" s="4">
        <v>7.45</v>
      </c>
      <c r="E5" s="4">
        <v>7.2</v>
      </c>
      <c r="F5" s="4">
        <f t="shared" si="0"/>
        <v>-3.4</v>
      </c>
    </row>
    <row r="6" spans="1:6" ht="15" customHeight="1" x14ac:dyDescent="0.3">
      <c r="A6" s="3" t="s">
        <v>61</v>
      </c>
      <c r="B6" s="4">
        <v>6</v>
      </c>
      <c r="C6" s="4" t="s">
        <v>62</v>
      </c>
      <c r="D6" s="4">
        <v>5.12</v>
      </c>
      <c r="E6" s="4">
        <v>4.9000000000000004</v>
      </c>
      <c r="F6" s="4">
        <f t="shared" si="0"/>
        <v>-4.3</v>
      </c>
    </row>
    <row r="7" spans="1:6" ht="15" customHeight="1" x14ac:dyDescent="0.3">
      <c r="A7" s="3" t="s">
        <v>63</v>
      </c>
      <c r="B7" s="4">
        <v>7</v>
      </c>
      <c r="C7" s="4" t="s">
        <v>64</v>
      </c>
      <c r="D7" s="4">
        <v>4.24</v>
      </c>
      <c r="E7" s="4">
        <v>4.0999999999999996</v>
      </c>
      <c r="F7" s="4">
        <f t="shared" si="0"/>
        <v>-3.3</v>
      </c>
    </row>
    <row r="8" spans="1:6" ht="15" customHeight="1" x14ac:dyDescent="0.3">
      <c r="A8" s="3" t="s">
        <v>65</v>
      </c>
      <c r="B8" s="4">
        <v>1</v>
      </c>
      <c r="C8" s="4" t="s">
        <v>66</v>
      </c>
      <c r="D8" s="4">
        <v>3.4</v>
      </c>
      <c r="E8" s="4">
        <v>3.25</v>
      </c>
      <c r="F8" s="4">
        <f t="shared" si="0"/>
        <v>-4.4000000000000004</v>
      </c>
    </row>
    <row r="9" spans="1:6" ht="15" customHeight="1" x14ac:dyDescent="0.3">
      <c r="A9" s="3" t="s">
        <v>67</v>
      </c>
      <c r="B9" s="4">
        <v>4</v>
      </c>
      <c r="C9" s="4" t="s">
        <v>68</v>
      </c>
      <c r="D9" s="4">
        <v>2.96</v>
      </c>
      <c r="E9" s="4">
        <v>2.85</v>
      </c>
      <c r="F9" s="4">
        <f t="shared" si="0"/>
        <v>-3.7</v>
      </c>
    </row>
    <row r="10" spans="1:6" ht="15" customHeight="1" x14ac:dyDescent="0.3">
      <c r="A10" s="3" t="s">
        <v>69</v>
      </c>
      <c r="B10" s="4">
        <v>1</v>
      </c>
      <c r="C10" s="4" t="s">
        <v>70</v>
      </c>
      <c r="D10" s="4">
        <v>2.8</v>
      </c>
      <c r="E10" s="4">
        <v>2.65</v>
      </c>
      <c r="F10" s="4">
        <f t="shared" si="0"/>
        <v>-5.4</v>
      </c>
    </row>
    <row r="11" spans="1:6" ht="15" customHeight="1" x14ac:dyDescent="0.3">
      <c r="A11" s="3" t="s">
        <v>71</v>
      </c>
      <c r="B11" s="4">
        <v>5</v>
      </c>
      <c r="C11" s="4" t="s">
        <v>72</v>
      </c>
      <c r="D11" s="4">
        <v>1.96</v>
      </c>
      <c r="E11" s="4">
        <v>1.88</v>
      </c>
      <c r="F11" s="4">
        <f t="shared" si="0"/>
        <v>-4.0999999999999996</v>
      </c>
    </row>
    <row r="12" spans="1:6" ht="15" customHeight="1" x14ac:dyDescent="0.3">
      <c r="A12" s="3" t="s">
        <v>73</v>
      </c>
      <c r="B12" s="4">
        <v>1</v>
      </c>
      <c r="C12" s="4" t="s">
        <v>74</v>
      </c>
      <c r="D12" s="4">
        <v>0.1</v>
      </c>
      <c r="E12" s="4">
        <v>0.1</v>
      </c>
      <c r="F12" s="4">
        <f t="shared" si="0"/>
        <v>0</v>
      </c>
    </row>
    <row r="13" spans="1:6" ht="15" customHeight="1" x14ac:dyDescent="0.3">
      <c r="A13" s="3" t="s">
        <v>75</v>
      </c>
      <c r="B13" s="4">
        <v>5</v>
      </c>
      <c r="C13" s="4" t="s">
        <v>76</v>
      </c>
      <c r="D13" s="4">
        <v>0.08</v>
      </c>
      <c r="E13" s="4">
        <v>0.08</v>
      </c>
      <c r="F13" s="4">
        <f t="shared" si="0"/>
        <v>0</v>
      </c>
    </row>
    <row r="14" spans="1:6" ht="15" customHeight="1" x14ac:dyDescent="0.3">
      <c r="A14" s="3" t="s">
        <v>77</v>
      </c>
      <c r="B14" s="4"/>
      <c r="C14" s="4"/>
      <c r="D14" s="4">
        <f>SUM(D2:D13)</f>
        <v>392.45</v>
      </c>
      <c r="E14" s="4">
        <f>SUM(E2:E13)</f>
        <v>384.96</v>
      </c>
      <c r="F14" s="4">
        <f t="shared" si="0"/>
        <v>-1.9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zoomScaleNormal="100" workbookViewId="0">
      <selection activeCell="A2" activeCellId="1" sqref="A1:XFD1 A2:XFD2"/>
    </sheetView>
  </sheetViews>
  <sheetFormatPr defaultColWidth="8.6640625" defaultRowHeight="14.4" x14ac:dyDescent="0.3"/>
  <cols>
    <col min="1" max="4" width="16" customWidth="1"/>
  </cols>
  <sheetData>
    <row r="1" spans="1:4" ht="15" customHeight="1" x14ac:dyDescent="0.3">
      <c r="A1" s="2" t="s">
        <v>78</v>
      </c>
      <c r="B1" s="2" t="s">
        <v>79</v>
      </c>
      <c r="C1" s="2" t="s">
        <v>80</v>
      </c>
      <c r="D1" s="2" t="s">
        <v>81</v>
      </c>
    </row>
    <row r="2" spans="1:4" ht="15" customHeight="1" x14ac:dyDescent="0.3">
      <c r="A2" s="3">
        <v>2022</v>
      </c>
      <c r="B2" s="4">
        <v>493.23</v>
      </c>
      <c r="C2" s="4">
        <v>493.23</v>
      </c>
      <c r="D2" s="4" t="s">
        <v>82</v>
      </c>
    </row>
    <row r="3" spans="1:4" ht="15" customHeight="1" x14ac:dyDescent="0.3">
      <c r="A3" s="3">
        <v>2023</v>
      </c>
      <c r="B3" s="4">
        <v>467.2</v>
      </c>
      <c r="C3" s="4">
        <v>478.15</v>
      </c>
      <c r="D3" s="4" t="str">
        <f>IF(C3&lt;=B3,"Yes","No")</f>
        <v>No</v>
      </c>
    </row>
    <row r="4" spans="1:4" ht="15" customHeight="1" x14ac:dyDescent="0.3">
      <c r="A4" s="3">
        <v>2024</v>
      </c>
      <c r="B4" s="4">
        <v>441.17</v>
      </c>
      <c r="C4" s="4"/>
      <c r="D4" s="4" t="s">
        <v>83</v>
      </c>
    </row>
    <row r="5" spans="1:4" ht="15" customHeight="1" x14ac:dyDescent="0.3">
      <c r="A5" s="3">
        <v>2025</v>
      </c>
      <c r="B5" s="4">
        <v>415.13</v>
      </c>
      <c r="C5" s="4"/>
      <c r="D5" s="4" t="s">
        <v>83</v>
      </c>
    </row>
    <row r="6" spans="1:4" ht="15" customHeight="1" x14ac:dyDescent="0.3">
      <c r="A6" s="3">
        <v>2026</v>
      </c>
      <c r="B6" s="4">
        <v>389.1</v>
      </c>
      <c r="C6" s="4"/>
      <c r="D6" s="4" t="s">
        <v>83</v>
      </c>
    </row>
    <row r="7" spans="1:4" ht="15" customHeight="1" x14ac:dyDescent="0.3">
      <c r="A7" s="3">
        <v>2027</v>
      </c>
      <c r="B7" s="4">
        <v>363.07</v>
      </c>
      <c r="C7" s="4"/>
      <c r="D7" s="4" t="s">
        <v>83</v>
      </c>
    </row>
    <row r="8" spans="1:4" ht="15" customHeight="1" x14ac:dyDescent="0.3">
      <c r="A8" s="3">
        <v>2028</v>
      </c>
      <c r="B8" s="4">
        <v>337.04</v>
      </c>
      <c r="C8" s="4"/>
      <c r="D8" s="4" t="s">
        <v>83</v>
      </c>
    </row>
    <row r="9" spans="1:4" ht="15" customHeight="1" x14ac:dyDescent="0.3">
      <c r="A9" s="3">
        <v>2029</v>
      </c>
      <c r="B9" s="4">
        <v>311.01</v>
      </c>
      <c r="C9" s="4"/>
      <c r="D9" s="4" t="s">
        <v>83</v>
      </c>
    </row>
    <row r="10" spans="1:4" ht="15" customHeight="1" x14ac:dyDescent="0.3">
      <c r="A10" s="3">
        <v>2030</v>
      </c>
      <c r="B10" s="4">
        <v>284.98</v>
      </c>
      <c r="C10" s="4"/>
      <c r="D10" s="4" t="s">
        <v>83</v>
      </c>
    </row>
    <row r="11" spans="1:4" ht="15" customHeight="1" x14ac:dyDescent="0.3">
      <c r="A11" s="3">
        <v>2031</v>
      </c>
      <c r="B11" s="4">
        <v>258.95</v>
      </c>
      <c r="C11" s="4"/>
      <c r="D11" s="4" t="s">
        <v>83</v>
      </c>
    </row>
    <row r="12" spans="1:4" ht="15" customHeight="1" x14ac:dyDescent="0.3">
      <c r="A12" s="3">
        <v>2032</v>
      </c>
      <c r="B12" s="4">
        <v>232.91</v>
      </c>
      <c r="C12" s="4"/>
      <c r="D12" s="4" t="s">
        <v>83</v>
      </c>
    </row>
    <row r="13" spans="1:4" ht="15" customHeight="1" x14ac:dyDescent="0.3">
      <c r="A13" s="3">
        <v>2033</v>
      </c>
      <c r="B13" s="4">
        <v>206.88</v>
      </c>
      <c r="C13" s="4"/>
      <c r="D13" s="4" t="s">
        <v>83</v>
      </c>
    </row>
    <row r="14" spans="1:4" ht="15" customHeight="1" x14ac:dyDescent="0.3">
      <c r="A14" s="3">
        <v>2034</v>
      </c>
      <c r="B14" s="4">
        <v>180.85</v>
      </c>
      <c r="C14" s="4"/>
      <c r="D14" s="4" t="s">
        <v>83</v>
      </c>
    </row>
    <row r="15" spans="1:4" ht="15" customHeight="1" x14ac:dyDescent="0.3">
      <c r="A15" s="3">
        <v>2035</v>
      </c>
      <c r="B15" s="4">
        <v>154.82</v>
      </c>
      <c r="C15" s="4"/>
      <c r="D15" s="4" t="s">
        <v>83</v>
      </c>
    </row>
    <row r="16" spans="1:4" ht="15" customHeight="1" x14ac:dyDescent="0.3">
      <c r="A16" s="3">
        <v>2036</v>
      </c>
      <c r="B16" s="4">
        <v>128.79</v>
      </c>
      <c r="C16" s="4"/>
      <c r="D16" s="4" t="s">
        <v>83</v>
      </c>
    </row>
    <row r="17" spans="1:4" ht="15" customHeight="1" x14ac:dyDescent="0.3">
      <c r="A17" s="3">
        <v>2037</v>
      </c>
      <c r="B17" s="4">
        <v>102.75</v>
      </c>
      <c r="C17" s="4"/>
      <c r="D17" s="4" t="s">
        <v>83</v>
      </c>
    </row>
    <row r="18" spans="1:4" ht="15" customHeight="1" x14ac:dyDescent="0.3">
      <c r="A18" s="3">
        <v>2038</v>
      </c>
      <c r="B18" s="4">
        <v>76.72</v>
      </c>
      <c r="C18" s="4"/>
      <c r="D18" s="4" t="s">
        <v>83</v>
      </c>
    </row>
    <row r="19" spans="1:4" ht="15" customHeight="1" x14ac:dyDescent="0.3">
      <c r="A19" s="3">
        <v>2039</v>
      </c>
      <c r="B19" s="4">
        <v>50.69</v>
      </c>
      <c r="C19" s="4"/>
      <c r="D19" s="4" t="s">
        <v>83</v>
      </c>
    </row>
    <row r="20" spans="1:4" ht="15" customHeight="1" x14ac:dyDescent="0.3">
      <c r="A20" s="3">
        <v>2040</v>
      </c>
      <c r="B20" s="4">
        <v>24.66</v>
      </c>
      <c r="C20" s="4"/>
      <c r="D20" s="4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zoomScaleNormal="100" workbookViewId="0">
      <selection sqref="A1:XFD1"/>
    </sheetView>
  </sheetViews>
  <sheetFormatPr defaultColWidth="8.6640625" defaultRowHeight="14.4" x14ac:dyDescent="0.3"/>
  <cols>
    <col min="1" max="1" width="35" customWidth="1"/>
    <col min="2" max="4" width="20" customWidth="1"/>
  </cols>
  <sheetData>
    <row r="1" spans="1:4" ht="15" customHeight="1" x14ac:dyDescent="0.3">
      <c r="A1" s="2" t="s">
        <v>84</v>
      </c>
      <c r="B1" s="2" t="s">
        <v>30</v>
      </c>
      <c r="C1" s="2" t="s">
        <v>29</v>
      </c>
      <c r="D1" s="2" t="s">
        <v>27</v>
      </c>
    </row>
    <row r="2" spans="1:4" ht="15" customHeight="1" x14ac:dyDescent="0.3">
      <c r="A2" s="3" t="s">
        <v>85</v>
      </c>
      <c r="B2" s="4">
        <v>0.18293000000000001</v>
      </c>
      <c r="C2" s="4" t="s">
        <v>34</v>
      </c>
      <c r="D2" s="4" t="s">
        <v>86</v>
      </c>
    </row>
    <row r="3" spans="1:4" ht="15" customHeight="1" x14ac:dyDescent="0.3">
      <c r="A3" s="3" t="s">
        <v>87</v>
      </c>
      <c r="B3" s="4">
        <v>0.20699999999999999</v>
      </c>
      <c r="C3" s="4" t="s">
        <v>34</v>
      </c>
      <c r="D3" s="4" t="s">
        <v>86</v>
      </c>
    </row>
    <row r="4" spans="1:4" ht="15" customHeight="1" x14ac:dyDescent="0.3">
      <c r="A4" s="3" t="s">
        <v>88</v>
      </c>
      <c r="B4" s="4">
        <v>3.4000000000000002E-2</v>
      </c>
      <c r="C4" s="4" t="s">
        <v>34</v>
      </c>
      <c r="D4" s="4" t="s">
        <v>86</v>
      </c>
    </row>
    <row r="5" spans="1:4" ht="15" customHeight="1" x14ac:dyDescent="0.3">
      <c r="A5" s="3" t="s">
        <v>89</v>
      </c>
      <c r="B5" s="4">
        <v>2.51233</v>
      </c>
      <c r="C5" s="4" t="s">
        <v>37</v>
      </c>
      <c r="D5" s="4" t="s">
        <v>86</v>
      </c>
    </row>
    <row r="6" spans="1:4" ht="15" customHeight="1" x14ac:dyDescent="0.3">
      <c r="A6" s="3" t="s">
        <v>90</v>
      </c>
      <c r="B6" s="4">
        <v>2.1680199999999998</v>
      </c>
      <c r="C6" s="4" t="s">
        <v>37</v>
      </c>
      <c r="D6" s="4" t="s">
        <v>86</v>
      </c>
    </row>
    <row r="7" spans="1:4" ht="15" customHeight="1" x14ac:dyDescent="0.3">
      <c r="A7" s="3" t="s">
        <v>91</v>
      </c>
      <c r="B7" s="4">
        <v>0.25509999999999999</v>
      </c>
      <c r="C7" s="4" t="s">
        <v>92</v>
      </c>
      <c r="D7" s="4" t="s">
        <v>86</v>
      </c>
    </row>
    <row r="8" spans="1:4" ht="15" customHeight="1" x14ac:dyDescent="0.3">
      <c r="A8" s="3" t="s">
        <v>93</v>
      </c>
      <c r="B8" s="4">
        <v>3.5490000000000001E-2</v>
      </c>
      <c r="C8" s="4" t="s">
        <v>92</v>
      </c>
      <c r="D8" s="4" t="s">
        <v>86</v>
      </c>
    </row>
    <row r="9" spans="1:4" ht="15" customHeight="1" x14ac:dyDescent="0.3">
      <c r="A9" s="3" t="s">
        <v>94</v>
      </c>
      <c r="B9" s="4">
        <v>0.17100000000000001</v>
      </c>
      <c r="C9" s="4" t="s">
        <v>92</v>
      </c>
      <c r="D9" s="4" t="s">
        <v>86</v>
      </c>
    </row>
    <row r="10" spans="1:4" ht="15" customHeight="1" x14ac:dyDescent="0.3">
      <c r="A10" s="3" t="s">
        <v>95</v>
      </c>
      <c r="B10" s="4">
        <v>5.2999999999999999E-2</v>
      </c>
      <c r="C10" s="4" t="s">
        <v>92</v>
      </c>
      <c r="D10" s="4" t="s">
        <v>86</v>
      </c>
    </row>
    <row r="11" spans="1:4" ht="15" customHeight="1" x14ac:dyDescent="0.3">
      <c r="A11" s="3" t="s">
        <v>96</v>
      </c>
      <c r="B11" s="4">
        <v>16</v>
      </c>
      <c r="C11" s="4" t="s">
        <v>97</v>
      </c>
      <c r="D11" s="4" t="s">
        <v>86</v>
      </c>
    </row>
    <row r="12" spans="1:4" ht="15" customHeight="1" x14ac:dyDescent="0.3">
      <c r="A12" s="3" t="s">
        <v>73</v>
      </c>
      <c r="B12" s="4">
        <v>0.14899999999999999</v>
      </c>
      <c r="C12" s="4" t="s">
        <v>98</v>
      </c>
      <c r="D12" s="4" t="s">
        <v>86</v>
      </c>
    </row>
    <row r="13" spans="1:4" ht="15" customHeight="1" x14ac:dyDescent="0.3">
      <c r="A13" s="3" t="s">
        <v>99</v>
      </c>
      <c r="B13" s="4">
        <v>467</v>
      </c>
      <c r="C13" s="4" t="s">
        <v>100</v>
      </c>
      <c r="D13" s="4" t="s">
        <v>86</v>
      </c>
    </row>
    <row r="14" spans="1:4" ht="15" customHeight="1" x14ac:dyDescent="0.3">
      <c r="A14" s="3" t="s">
        <v>101</v>
      </c>
      <c r="B14" s="4">
        <v>21.3</v>
      </c>
      <c r="C14" s="4" t="s">
        <v>100</v>
      </c>
      <c r="D14" s="4" t="s">
        <v>86</v>
      </c>
    </row>
    <row r="15" spans="1:4" ht="15" customHeight="1" x14ac:dyDescent="0.3">
      <c r="A15" s="3" t="s">
        <v>102</v>
      </c>
      <c r="B15" s="4">
        <v>0.27</v>
      </c>
      <c r="C15" s="4" t="s">
        <v>103</v>
      </c>
      <c r="D15" s="4" t="s">
        <v>86</v>
      </c>
    </row>
    <row r="16" spans="1:4" ht="15" customHeight="1" x14ac:dyDescent="0.3">
      <c r="A16" s="3" t="s">
        <v>104</v>
      </c>
      <c r="B16" s="4">
        <v>1430</v>
      </c>
      <c r="C16" s="4" t="s">
        <v>41</v>
      </c>
      <c r="D16" s="4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tabSelected="1" zoomScaleNormal="100" workbookViewId="0">
      <selection sqref="A1:B1"/>
    </sheetView>
  </sheetViews>
  <sheetFormatPr defaultColWidth="8.6640625" defaultRowHeight="14.4" x14ac:dyDescent="0.3"/>
  <cols>
    <col min="1" max="1" width="30" customWidth="1"/>
    <col min="2" max="2" width="45" customWidth="1"/>
  </cols>
  <sheetData>
    <row r="1" spans="1:2" ht="17.25" customHeight="1" x14ac:dyDescent="0.3">
      <c r="A1" s="1" t="s">
        <v>105</v>
      </c>
      <c r="B1" s="1"/>
    </row>
    <row r="3" spans="1:2" ht="15" customHeight="1" x14ac:dyDescent="0.3">
      <c r="A3" s="5" t="s">
        <v>106</v>
      </c>
      <c r="B3" s="6" t="s">
        <v>107</v>
      </c>
    </row>
    <row r="4" spans="1:2" ht="15" customHeight="1" x14ac:dyDescent="0.3">
      <c r="A4" s="5" t="s">
        <v>108</v>
      </c>
      <c r="B4" s="6" t="s">
        <v>109</v>
      </c>
    </row>
    <row r="5" spans="1:2" ht="15" customHeight="1" x14ac:dyDescent="0.3">
      <c r="A5" s="5" t="s">
        <v>110</v>
      </c>
      <c r="B5" s="6">
        <v>100</v>
      </c>
    </row>
    <row r="6" spans="1:2" ht="15" customHeight="1" x14ac:dyDescent="0.3">
      <c r="A6" s="5" t="s">
        <v>111</v>
      </c>
      <c r="B6" s="6" t="s">
        <v>112</v>
      </c>
    </row>
    <row r="7" spans="1:2" ht="15" customHeight="1" x14ac:dyDescent="0.3">
      <c r="A7" s="5" t="s">
        <v>113</v>
      </c>
      <c r="B7" s="6" t="s">
        <v>114</v>
      </c>
    </row>
    <row r="8" spans="1:2" ht="15" customHeight="1" x14ac:dyDescent="0.3">
      <c r="A8" s="5" t="s">
        <v>115</v>
      </c>
      <c r="B8" s="6">
        <v>2040</v>
      </c>
    </row>
    <row r="9" spans="1:2" ht="15" customHeight="1" x14ac:dyDescent="0.3">
      <c r="A9" s="5" t="s">
        <v>116</v>
      </c>
      <c r="B9" s="6" t="s">
        <v>117</v>
      </c>
    </row>
    <row r="10" spans="1:2" ht="15" customHeight="1" x14ac:dyDescent="0.3">
      <c r="A10" s="5" t="s">
        <v>118</v>
      </c>
      <c r="B10" s="6" t="s">
        <v>119</v>
      </c>
    </row>
    <row r="11" spans="1:2" ht="15" customHeight="1" x14ac:dyDescent="0.3">
      <c r="A11" s="5" t="s">
        <v>120</v>
      </c>
      <c r="B11" s="6" t="s">
        <v>121</v>
      </c>
    </row>
    <row r="12" spans="1:2" ht="15" customHeight="1" x14ac:dyDescent="0.3">
      <c r="A12" s="5" t="s">
        <v>122</v>
      </c>
      <c r="B12" s="6" t="s">
        <v>123</v>
      </c>
    </row>
    <row r="13" spans="1:2" ht="15" customHeight="1" x14ac:dyDescent="0.3">
      <c r="A13" s="5" t="s">
        <v>124</v>
      </c>
      <c r="B13" s="6" t="s">
        <v>125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Scope Summary</vt:lpstr>
      <vt:lpstr>Monthly Breakdown</vt:lpstr>
      <vt:lpstr>Scope 1 Detail</vt:lpstr>
      <vt:lpstr>Scope 2 Detail</vt:lpstr>
      <vt:lpstr>Scope 3 Detail</vt:lpstr>
      <vt:lpstr>Net Zero Pathway</vt:lpstr>
      <vt:lpstr>Emission Factors</vt:lpstr>
      <vt:lpstr>Company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Ravindra Kumar</cp:lastModifiedBy>
  <cp:revision>0</cp:revision>
  <dcterms:created xsi:type="dcterms:W3CDTF">2026-04-05T05:07:58Z</dcterms:created>
  <dcterms:modified xsi:type="dcterms:W3CDTF">2026-04-05T05:18:17Z</dcterms:modified>
  <dc:language>en-US</dc:language>
</cp:coreProperties>
</file>